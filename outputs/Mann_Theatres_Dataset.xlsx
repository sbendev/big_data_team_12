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ater Overview" sheetId="1" state="visible" r:id="rId3"/>
    <sheet name="Champlin 14 — Screen Detail" sheetId="2" state="visible" r:id="rId4"/>
    <sheet name="Chain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<sst xmlns="http://schemas.openxmlformats.org/spreadsheetml/2006/main" count="197" uniqueCount="115">
  <si>
    <t xml:space="preserve">MANN THEATRES — MINNESOTA LOCATIONS DATASET</t>
  </si>
  <si>
    <t xml:space="preserve">Source: manntheatres.com (live site, April 2026) | News sources: hometownsource.com, startribune.com, tcbmag.com | Seat counts = post-renovation figures where available</t>
  </si>
  <si>
    <t xml:space="preserve">Theater Name</t>
  </si>
  <si>
    <t xml:space="preserve">City</t>
  </si>
  <si>
    <t xml:space="preserve">State</t>
  </si>
  <si>
    <t xml:space="preserve">Address</t>
  </si>
  <si>
    <t xml:space="preserve">ZIP</t>
  </si>
  <si>
    <t xml:space="preserve"># Screens</t>
  </si>
  <si>
    <t xml:space="preserve">Has XDX Screen</t>
  </si>
  <si>
    <t xml:space="preserve">Has 3D</t>
  </si>
  <si>
    <t xml:space="preserve">Seating Type</t>
  </si>
  <si>
    <t xml:space="preserve">Est. Total Seats</t>
  </si>
  <si>
    <t xml:space="preserve">Seats/Screen (Min)</t>
  </si>
  <si>
    <t xml:space="preserve">Seats/Screen (Max)</t>
  </si>
  <si>
    <t xml:space="preserve">Special Features</t>
  </si>
  <si>
    <t xml:space="preserve">Data Confidence</t>
  </si>
  <si>
    <t xml:space="preserve">Champlin 14</t>
  </si>
  <si>
    <t xml:space="preserve">Champlin</t>
  </si>
  <si>
    <t xml:space="preserve">MN</t>
  </si>
  <si>
    <t xml:space="preserve">11500 Theatre Drive</t>
  </si>
  <si>
    <t xml:space="preserve">55316</t>
  </si>
  <si>
    <t xml:space="preserve">Yes</t>
  </si>
  <si>
    <t xml:space="preserve">Mann Luxury Loungers (recliners)</t>
  </si>
  <si>
    <t xml:space="preserve">XDX large format, Dolby Atmos, 3D, Party rooms, Full bar</t>
  </si>
  <si>
    <t xml:space="preserve">High — seat range confirmed by local news (hometownsource, 2017)</t>
  </si>
  <si>
    <t xml:space="preserve">Plymouth Grand 15</t>
  </si>
  <si>
    <t xml:space="preserve">Plymouth</t>
  </si>
  <si>
    <t xml:space="preserve">3400 Vicksburg Lane N</t>
  </si>
  <si>
    <t xml:space="preserve">55447</t>
  </si>
  <si>
    <t xml:space="preserve">XDX large format, Dolby Atmos, 3D, Full bar, ScreenX, Party rooms</t>
  </si>
  <si>
    <t xml:space="preserve">Medium — $8M reno similar to Champlin; exact per-screen counts not published</t>
  </si>
  <si>
    <t xml:space="preserve">Lakes 12</t>
  </si>
  <si>
    <t xml:space="preserve">Baxter</t>
  </si>
  <si>
    <t xml:space="preserve">14145 Baxter Drive</t>
  </si>
  <si>
    <t xml:space="preserve">56401</t>
  </si>
  <si>
    <t xml:space="preserve">No</t>
  </si>
  <si>
    <t xml:space="preserve">Mixed (recliners + standard)</t>
  </si>
  <si>
    <t xml:space="preserve">3D, Reserved seating</t>
  </si>
  <si>
    <t xml:space="preserve">Low — no seat count source found; estimate based on screen count</t>
  </si>
  <si>
    <t xml:space="preserve">Hibbing 8</t>
  </si>
  <si>
    <t xml:space="preserve">Hibbing</t>
  </si>
  <si>
    <t xml:space="preserve">4015 9th Ave West</t>
  </si>
  <si>
    <t xml:space="preserve">55746</t>
  </si>
  <si>
    <t xml:space="preserve">Grand Rapids 8</t>
  </si>
  <si>
    <t xml:space="preserve">Grand Rapids</t>
  </si>
  <si>
    <t xml:space="preserve">113 SE 21st Street</t>
  </si>
  <si>
    <t xml:space="preserve">55744</t>
  </si>
  <si>
    <t xml:space="preserve">Edina 4</t>
  </si>
  <si>
    <t xml:space="preserve">Edina</t>
  </si>
  <si>
    <t xml:space="preserve">3911 W. 50th Street</t>
  </si>
  <si>
    <t xml:space="preserve">55424</t>
  </si>
  <si>
    <t xml:space="preserve">Historic Art Deco (1934), The Gold Room bar, Live performance stage</t>
  </si>
  <si>
    <t xml:space="preserve">High — total post-reno capacity ~490 confirmed (TCB Mag/Star Tribune, 2022)</t>
  </si>
  <si>
    <t xml:space="preserve">Grandview 1 &amp; 2</t>
  </si>
  <si>
    <t xml:space="preserve">Saint Paul</t>
  </si>
  <si>
    <t xml:space="preserve">1830 Grand Avenue</t>
  </si>
  <si>
    <t xml:space="preserve">55105</t>
  </si>
  <si>
    <t xml:space="preserve">Historic Art Deco (1930s), renovated ~2017–18</t>
  </si>
  <si>
    <t xml:space="preserve">Low — no post-reno seat count published; estimate based on historic single-screen layouts</t>
  </si>
  <si>
    <t xml:space="preserve">Highland 1 &amp; 2</t>
  </si>
  <si>
    <t xml:space="preserve">760 Cleveland Ave S</t>
  </si>
  <si>
    <t xml:space="preserve">55116</t>
  </si>
  <si>
    <t xml:space="preserve">TOTALS / CHAIN SUMMARY</t>
  </si>
  <si>
    <t xml:space="preserve">⚠️  IMPORTANT NOTES: Mann Theatres does NOT publish per-screen seat counts on their website. Seat counts above are compiled from local news articles, press releases, and editorial estimates. Champlin 14 and Edina 4 have confirmed post-renovation ranges from published sources. All other seat estimates are approximations only — contact each theater directly for verified figures.</t>
  </si>
  <si>
    <t xml:space="preserve">CHAMPLIN 14 — Per-Screen Seat Detail (Post-Renovation)</t>
  </si>
  <si>
    <t xml:space="preserve">Source: hometownsource.com (2017 renovation article). Seat range 70–185 per screen confirmed. XDX screen = largest auditorium.</t>
  </si>
  <si>
    <t xml:space="preserve">Screen #</t>
  </si>
  <si>
    <t xml:space="preserve">Screen Type</t>
  </si>
  <si>
    <t xml:space="preserve">Format</t>
  </si>
  <si>
    <t xml:space="preserve">Est. Seats</t>
  </si>
  <si>
    <t xml:space="preserve">Notes</t>
  </si>
  <si>
    <t xml:space="preserve">Data Source</t>
  </si>
  <si>
    <t xml:space="preserve">XDX (Large Format)</t>
  </si>
  <si>
    <t xml:space="preserve">XDX / 2D / 3D</t>
  </si>
  <si>
    <t xml:space="preserve">Mann Luxury Loungers</t>
  </si>
  <si>
    <t xml:space="preserve">Largest auditorium; Dolby Atmos sound</t>
  </si>
  <si>
    <t xml:space="preserve">Confirmed range — exact count not published</t>
  </si>
  <si>
    <t xml:space="preserve">Standard</t>
  </si>
  <si>
    <t xml:space="preserve">2D / 3D</t>
  </si>
  <si>
    <t xml:space="preserve">Estimate within confirmed 70–185 range</t>
  </si>
  <si>
    <t xml:space="preserve">2D</t>
  </si>
  <si>
    <t xml:space="preserve">Smallest auditorium</t>
  </si>
  <si>
    <t xml:space="preserve">Confirmed minimum</t>
  </si>
  <si>
    <t xml:space="preserve">ESTIMATED TOTAL SEATS</t>
  </si>
  <si>
    <t xml:space="preserve">MANN THEATRES — CHAIN-WIDE SUMMARY</t>
  </si>
  <si>
    <t xml:space="preserve">Chain Facts</t>
  </si>
  <si>
    <t xml:space="preserve">Founded</t>
  </si>
  <si>
    <t xml:space="preserve">1937 (Marvin Mann)</t>
  </si>
  <si>
    <t xml:space="preserve">Current Operators</t>
  </si>
  <si>
    <t xml:space="preserve">Michelle &amp; Michael Mann (3rd generation)</t>
  </si>
  <si>
    <t xml:space="preserve">Headquarters</t>
  </si>
  <si>
    <t xml:space="preserve">Bloomington, MN</t>
  </si>
  <si>
    <t xml:space="preserve">Total Locations (Active)</t>
  </si>
  <si>
    <t xml:space="preserve">Total Screens (Confirmed)</t>
  </si>
  <si>
    <t xml:space="preserve">Est. Total Seats (All Theaters)</t>
  </si>
  <si>
    <t xml:space="preserve">Screen Format Breakdown</t>
  </si>
  <si>
    <t xml:space="preserve">XDX Screens</t>
  </si>
  <si>
    <t xml:space="preserve">3D-Capable Screens (est.)</t>
  </si>
  <si>
    <t xml:space="preserve">~30 (Champlin, Plymouth, Lakes, Hibbing, Grand Rapids)</t>
  </si>
  <si>
    <t xml:space="preserve">Standard Screens</t>
  </si>
  <si>
    <t xml:space="preserve">~28</t>
  </si>
  <si>
    <t xml:space="preserve">Seating Technology</t>
  </si>
  <si>
    <t xml:space="preserve">Seating Type (all locations)</t>
  </si>
  <si>
    <t xml:space="preserve">Mann Luxury Loungers (heated recliners)</t>
  </si>
  <si>
    <t xml:space="preserve">Reserved Seating</t>
  </si>
  <si>
    <t xml:space="preserve">Yes — all locations</t>
  </si>
  <si>
    <t xml:space="preserve">Notable Info</t>
  </si>
  <si>
    <t xml:space="preserve">Ownership Type</t>
  </si>
  <si>
    <t xml:space="preserve">Family-owned (private, not publicly traded)</t>
  </si>
  <si>
    <t xml:space="preserve">Data Availability</t>
  </si>
  <si>
    <t xml:space="preserve">POOR — no official seat count data published online</t>
  </si>
  <si>
    <t xml:space="preserve">Best Confirmed Source</t>
  </si>
  <si>
    <t xml:space="preserve">hometownsource.com (Champlin reno 2017); tcbmag.com (Edina 2022)</t>
  </si>
  <si>
    <t xml:space="preserve">Contact for Verified Data</t>
  </si>
  <si>
    <t xml:space="preserve">manntheatres.com/info/58662 (Contact page)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</si>
</sst>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9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2FF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EAF2FF"/>
      </patternFill>
    </fill>
    <fill>
      <patternFill patternType="solid">
        <fgColor rgb="FFFFFFFF"/>
        <bgColor rgb="FFEAF2FF"/>
      </patternFill>
    </fill>
    <fill>
      <patternFill patternType="solid">
        <fgColor rgb="FFF4CCCC"/>
        <bgColor rgb="FFD6E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2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50"/>
    <col collapsed="false" customWidth="true" hidden="false" outlineLevel="0" max="14" min="14" style="0" width="5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45" hidden="false" customHeight="true" outlineLevel="0" collapsed="false">
      <c r="A4" s="4" t="s">
        <v>16</v>
      </c>
      <c r="B4" s="4" t="s">
        <v>17</v>
      </c>
      <c r="C4" s="4" t="s">
        <v>18</v>
      </c>
      <c r="D4" s="5" t="s">
        <v>19</v>
      </c>
      <c r="E4" s="4" t="s">
        <v>20</v>
      </c>
      <c r="F4" s="4" t="n">
        <v>14</v>
      </c>
      <c r="G4" s="4" t="s">
        <v>21</v>
      </c>
      <c r="H4" s="4" t="s">
        <v>21</v>
      </c>
      <c r="I4" s="4" t="s">
        <v>22</v>
      </c>
      <c r="J4" s="4" t="n">
        <v>1600</v>
      </c>
      <c r="K4" s="4" t="n">
        <v>70</v>
      </c>
      <c r="L4" s="4" t="n">
        <v>185</v>
      </c>
      <c r="M4" s="5" t="s">
        <v>23</v>
      </c>
      <c r="N4" s="5" t="s">
        <v>24</v>
      </c>
    </row>
    <row r="5" customFormat="false" ht="45" hidden="false" customHeight="true" outlineLevel="0" collapsed="false">
      <c r="A5" s="6" t="s">
        <v>25</v>
      </c>
      <c r="B5" s="6" t="s">
        <v>26</v>
      </c>
      <c r="C5" s="6" t="s">
        <v>18</v>
      </c>
      <c r="D5" s="7" t="s">
        <v>27</v>
      </c>
      <c r="E5" s="6" t="s">
        <v>28</v>
      </c>
      <c r="F5" s="6" t="n">
        <v>15</v>
      </c>
      <c r="G5" s="6" t="s">
        <v>21</v>
      </c>
      <c r="H5" s="6" t="s">
        <v>21</v>
      </c>
      <c r="I5" s="6" t="s">
        <v>22</v>
      </c>
      <c r="J5" s="6" t="n">
        <v>1900</v>
      </c>
      <c r="K5" s="6" t="n">
        <v>80</v>
      </c>
      <c r="L5" s="6" t="n">
        <v>200</v>
      </c>
      <c r="M5" s="7" t="s">
        <v>29</v>
      </c>
      <c r="N5" s="7" t="s">
        <v>30</v>
      </c>
    </row>
    <row r="6" customFormat="false" ht="45" hidden="false" customHeight="true" outlineLevel="0" collapsed="false">
      <c r="A6" s="4" t="s">
        <v>31</v>
      </c>
      <c r="B6" s="4" t="s">
        <v>32</v>
      </c>
      <c r="C6" s="4" t="s">
        <v>18</v>
      </c>
      <c r="D6" s="5" t="s">
        <v>33</v>
      </c>
      <c r="E6" s="4" t="s">
        <v>34</v>
      </c>
      <c r="F6" s="4" t="n">
        <v>12</v>
      </c>
      <c r="G6" s="4" t="s">
        <v>35</v>
      </c>
      <c r="H6" s="4" t="s">
        <v>21</v>
      </c>
      <c r="I6" s="4" t="s">
        <v>36</v>
      </c>
      <c r="J6" s="4" t="n">
        <v>1300</v>
      </c>
      <c r="K6" s="4" t="n">
        <v>75</v>
      </c>
      <c r="L6" s="4" t="n">
        <v>160</v>
      </c>
      <c r="M6" s="5" t="s">
        <v>37</v>
      </c>
      <c r="N6" s="5" t="s">
        <v>38</v>
      </c>
    </row>
    <row r="7" customFormat="false" ht="45" hidden="false" customHeight="true" outlineLevel="0" collapsed="false">
      <c r="A7" s="6" t="s">
        <v>39</v>
      </c>
      <c r="B7" s="6" t="s">
        <v>40</v>
      </c>
      <c r="C7" s="6" t="s">
        <v>18</v>
      </c>
      <c r="D7" s="7" t="s">
        <v>41</v>
      </c>
      <c r="E7" s="6" t="s">
        <v>42</v>
      </c>
      <c r="F7" s="6" t="n">
        <v>8</v>
      </c>
      <c r="G7" s="6" t="s">
        <v>35</v>
      </c>
      <c r="H7" s="6" t="s">
        <v>21</v>
      </c>
      <c r="I7" s="6" t="s">
        <v>36</v>
      </c>
      <c r="J7" s="6" t="n">
        <v>850</v>
      </c>
      <c r="K7" s="6" t="n">
        <v>80</v>
      </c>
      <c r="L7" s="6" t="n">
        <v>140</v>
      </c>
      <c r="M7" s="7" t="s">
        <v>37</v>
      </c>
      <c r="N7" s="7" t="s">
        <v>38</v>
      </c>
    </row>
    <row r="8" customFormat="false" ht="45" hidden="false" customHeight="true" outlineLevel="0" collapsed="false">
      <c r="A8" s="4" t="s">
        <v>43</v>
      </c>
      <c r="B8" s="4" t="s">
        <v>44</v>
      </c>
      <c r="C8" s="4" t="s">
        <v>18</v>
      </c>
      <c r="D8" s="5" t="s">
        <v>45</v>
      </c>
      <c r="E8" s="4" t="s">
        <v>46</v>
      </c>
      <c r="F8" s="4" t="n">
        <v>8</v>
      </c>
      <c r="G8" s="4" t="s">
        <v>35</v>
      </c>
      <c r="H8" s="4" t="s">
        <v>21</v>
      </c>
      <c r="I8" s="4" t="s">
        <v>36</v>
      </c>
      <c r="J8" s="4" t="n">
        <v>850</v>
      </c>
      <c r="K8" s="4" t="n">
        <v>80</v>
      </c>
      <c r="L8" s="4" t="n">
        <v>140</v>
      </c>
      <c r="M8" s="5" t="s">
        <v>37</v>
      </c>
      <c r="N8" s="5" t="s">
        <v>38</v>
      </c>
    </row>
    <row r="9" customFormat="false" ht="45" hidden="false" customHeight="true" outlineLevel="0" collapsed="false">
      <c r="A9" s="6" t="s">
        <v>47</v>
      </c>
      <c r="B9" s="6" t="s">
        <v>48</v>
      </c>
      <c r="C9" s="6" t="s">
        <v>18</v>
      </c>
      <c r="D9" s="7" t="s">
        <v>49</v>
      </c>
      <c r="E9" s="6" t="s">
        <v>50</v>
      </c>
      <c r="F9" s="6" t="n">
        <v>4</v>
      </c>
      <c r="G9" s="6" t="s">
        <v>35</v>
      </c>
      <c r="H9" s="6" t="s">
        <v>35</v>
      </c>
      <c r="I9" s="6" t="s">
        <v>22</v>
      </c>
      <c r="J9" s="6" t="n">
        <v>490</v>
      </c>
      <c r="K9" s="6" t="n">
        <v>80</v>
      </c>
      <c r="L9" s="6" t="n">
        <v>150</v>
      </c>
      <c r="M9" s="7" t="s">
        <v>51</v>
      </c>
      <c r="N9" s="7" t="s">
        <v>52</v>
      </c>
    </row>
    <row r="10" customFormat="false" ht="45" hidden="false" customHeight="true" outlineLevel="0" collapsed="false">
      <c r="A10" s="4" t="s">
        <v>53</v>
      </c>
      <c r="B10" s="4" t="s">
        <v>54</v>
      </c>
      <c r="C10" s="4" t="s">
        <v>18</v>
      </c>
      <c r="D10" s="5" t="s">
        <v>55</v>
      </c>
      <c r="E10" s="4" t="s">
        <v>56</v>
      </c>
      <c r="F10" s="4" t="n">
        <v>2</v>
      </c>
      <c r="G10" s="4" t="s">
        <v>35</v>
      </c>
      <c r="H10" s="4" t="s">
        <v>35</v>
      </c>
      <c r="I10" s="4" t="s">
        <v>22</v>
      </c>
      <c r="J10" s="4" t="n">
        <v>400</v>
      </c>
      <c r="K10" s="4" t="n">
        <v>150</v>
      </c>
      <c r="L10" s="4" t="n">
        <v>250</v>
      </c>
      <c r="M10" s="5" t="s">
        <v>57</v>
      </c>
      <c r="N10" s="5" t="s">
        <v>58</v>
      </c>
    </row>
    <row r="11" customFormat="false" ht="45" hidden="false" customHeight="true" outlineLevel="0" collapsed="false">
      <c r="A11" s="6" t="s">
        <v>59</v>
      </c>
      <c r="B11" s="6" t="s">
        <v>54</v>
      </c>
      <c r="C11" s="6" t="s">
        <v>18</v>
      </c>
      <c r="D11" s="7" t="s">
        <v>60</v>
      </c>
      <c r="E11" s="6" t="s">
        <v>61</v>
      </c>
      <c r="F11" s="6" t="n">
        <v>2</v>
      </c>
      <c r="G11" s="6" t="s">
        <v>35</v>
      </c>
      <c r="H11" s="6" t="s">
        <v>35</v>
      </c>
      <c r="I11" s="6" t="s">
        <v>22</v>
      </c>
      <c r="J11" s="6" t="n">
        <v>400</v>
      </c>
      <c r="K11" s="6" t="n">
        <v>150</v>
      </c>
      <c r="L11" s="6" t="n">
        <v>250</v>
      </c>
      <c r="M11" s="7" t="s">
        <v>57</v>
      </c>
      <c r="N11" s="7" t="s">
        <v>58</v>
      </c>
    </row>
    <row r="12" customFormat="false" ht="15" hidden="false" customHeight="true" outlineLevel="0" collapsed="false">
      <c r="A12" s="8" t="s">
        <v>62</v>
      </c>
      <c r="B12" s="8"/>
      <c r="C12" s="8"/>
      <c r="D12" s="8"/>
      <c r="E12" s="8"/>
      <c r="F12" s="9" t="n">
        <f aca="false">SUM(F4:F11)</f>
        <v>65</v>
      </c>
      <c r="G12" s="9"/>
      <c r="H12" s="9"/>
      <c r="I12" s="9"/>
      <c r="J12" s="9" t="n">
        <f aca="false">SUM(J4:J11)</f>
        <v>7790</v>
      </c>
      <c r="K12" s="9"/>
      <c r="L12" s="9"/>
    </row>
    <row r="14" customFormat="false" ht="39.75" hidden="false" customHeight="true" outlineLevel="0" collapsed="false">
      <c r="A14" s="10" t="s">
        <v>63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</sheetData>
  <mergeCells count="4">
    <mergeCell ref="A1:N1"/>
    <mergeCell ref="A2:N2"/>
    <mergeCell ref="A12:E12"/>
    <mergeCell ref="A14: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42"/>
  </cols>
  <sheetData>
    <row r="1" customFormat="false" ht="25.5" hidden="false" customHeight="true" outlineLevel="0" collapsed="false">
      <c r="A1" s="11" t="s">
        <v>64</v>
      </c>
      <c r="B1" s="11"/>
      <c r="C1" s="11"/>
      <c r="D1" s="11"/>
      <c r="E1" s="11"/>
      <c r="F1" s="11"/>
      <c r="G1" s="11"/>
    </row>
    <row r="2" customFormat="false" ht="15" hidden="false" customHeight="true" outlineLevel="0" collapsed="false">
      <c r="A2" s="2" t="s">
        <v>65</v>
      </c>
      <c r="B2" s="2"/>
      <c r="C2" s="2"/>
      <c r="D2" s="2"/>
      <c r="E2" s="2"/>
      <c r="F2" s="2"/>
      <c r="G2" s="2"/>
    </row>
    <row r="3" customFormat="false" ht="36" hidden="false" customHeight="true" outlineLevel="0" collapsed="false">
      <c r="A3" s="3" t="s">
        <v>66</v>
      </c>
      <c r="B3" s="3" t="s">
        <v>67</v>
      </c>
      <c r="C3" s="3" t="s">
        <v>68</v>
      </c>
      <c r="D3" s="3" t="s">
        <v>69</v>
      </c>
      <c r="E3" s="3" t="s">
        <v>10</v>
      </c>
      <c r="F3" s="3" t="s">
        <v>70</v>
      </c>
      <c r="G3" s="3" t="s">
        <v>71</v>
      </c>
    </row>
    <row r="4" customFormat="false" ht="23.85" hidden="false" customHeight="false" outlineLevel="0" collapsed="false">
      <c r="A4" s="4" t="n">
        <v>1</v>
      </c>
      <c r="B4" s="4" t="s">
        <v>72</v>
      </c>
      <c r="C4" s="4" t="s">
        <v>73</v>
      </c>
      <c r="D4" s="4" t="n">
        <v>185</v>
      </c>
      <c r="E4" s="4" t="s">
        <v>74</v>
      </c>
      <c r="F4" s="4" t="s">
        <v>75</v>
      </c>
      <c r="G4" s="4" t="s">
        <v>76</v>
      </c>
    </row>
    <row r="5" customFormat="false" ht="15" hidden="false" customHeight="false" outlineLevel="0" collapsed="false">
      <c r="A5" s="6" t="n">
        <v>2</v>
      </c>
      <c r="B5" s="6" t="s">
        <v>77</v>
      </c>
      <c r="C5" s="6" t="s">
        <v>78</v>
      </c>
      <c r="D5" s="6" t="n">
        <v>160</v>
      </c>
      <c r="E5" s="6" t="s">
        <v>74</v>
      </c>
      <c r="F5" s="6"/>
      <c r="G5" s="6" t="s">
        <v>79</v>
      </c>
    </row>
    <row r="6" customFormat="false" ht="15" hidden="false" customHeight="false" outlineLevel="0" collapsed="false">
      <c r="A6" s="4" t="n">
        <v>3</v>
      </c>
      <c r="B6" s="4" t="s">
        <v>77</v>
      </c>
      <c r="C6" s="4" t="s">
        <v>78</v>
      </c>
      <c r="D6" s="4" t="n">
        <v>155</v>
      </c>
      <c r="E6" s="4" t="s">
        <v>74</v>
      </c>
      <c r="F6" s="4"/>
      <c r="G6" s="4" t="s">
        <v>79</v>
      </c>
    </row>
    <row r="7" customFormat="false" ht="15" hidden="false" customHeight="false" outlineLevel="0" collapsed="false">
      <c r="A7" s="6" t="n">
        <v>4</v>
      </c>
      <c r="B7" s="6" t="s">
        <v>77</v>
      </c>
      <c r="C7" s="6" t="s">
        <v>80</v>
      </c>
      <c r="D7" s="6" t="n">
        <v>150</v>
      </c>
      <c r="E7" s="6" t="s">
        <v>74</v>
      </c>
      <c r="F7" s="6"/>
      <c r="G7" s="6" t="s">
        <v>79</v>
      </c>
    </row>
    <row r="8" customFormat="false" ht="15" hidden="false" customHeight="false" outlineLevel="0" collapsed="false">
      <c r="A8" s="4" t="n">
        <v>5</v>
      </c>
      <c r="B8" s="4" t="s">
        <v>77</v>
      </c>
      <c r="C8" s="4" t="s">
        <v>80</v>
      </c>
      <c r="D8" s="4" t="n">
        <v>145</v>
      </c>
      <c r="E8" s="4" t="s">
        <v>74</v>
      </c>
      <c r="F8" s="4"/>
      <c r="G8" s="4" t="s">
        <v>79</v>
      </c>
    </row>
    <row r="9" customFormat="false" ht="15" hidden="false" customHeight="false" outlineLevel="0" collapsed="false">
      <c r="A9" s="6" t="n">
        <v>6</v>
      </c>
      <c r="B9" s="6" t="s">
        <v>77</v>
      </c>
      <c r="C9" s="6" t="s">
        <v>80</v>
      </c>
      <c r="D9" s="6" t="n">
        <v>135</v>
      </c>
      <c r="E9" s="6" t="s">
        <v>74</v>
      </c>
      <c r="F9" s="6"/>
      <c r="G9" s="6" t="s">
        <v>79</v>
      </c>
    </row>
    <row r="10" customFormat="false" ht="15" hidden="false" customHeight="false" outlineLevel="0" collapsed="false">
      <c r="A10" s="4" t="n">
        <v>7</v>
      </c>
      <c r="B10" s="4" t="s">
        <v>77</v>
      </c>
      <c r="C10" s="4" t="s">
        <v>80</v>
      </c>
      <c r="D10" s="4" t="n">
        <v>130</v>
      </c>
      <c r="E10" s="4" t="s">
        <v>74</v>
      </c>
      <c r="F10" s="4"/>
      <c r="G10" s="4" t="s">
        <v>79</v>
      </c>
    </row>
    <row r="11" customFormat="false" ht="15" hidden="false" customHeight="false" outlineLevel="0" collapsed="false">
      <c r="A11" s="6" t="n">
        <v>8</v>
      </c>
      <c r="B11" s="6" t="s">
        <v>77</v>
      </c>
      <c r="C11" s="6" t="s">
        <v>80</v>
      </c>
      <c r="D11" s="6" t="n">
        <v>120</v>
      </c>
      <c r="E11" s="6" t="s">
        <v>74</v>
      </c>
      <c r="F11" s="6"/>
      <c r="G11" s="6" t="s">
        <v>79</v>
      </c>
    </row>
    <row r="12" customFormat="false" ht="15" hidden="false" customHeight="false" outlineLevel="0" collapsed="false">
      <c r="A12" s="4" t="n">
        <v>9</v>
      </c>
      <c r="B12" s="4" t="s">
        <v>77</v>
      </c>
      <c r="C12" s="4" t="s">
        <v>80</v>
      </c>
      <c r="D12" s="4" t="n">
        <v>110</v>
      </c>
      <c r="E12" s="4" t="s">
        <v>74</v>
      </c>
      <c r="F12" s="4"/>
      <c r="G12" s="4" t="s">
        <v>79</v>
      </c>
    </row>
    <row r="13" customFormat="false" ht="15" hidden="false" customHeight="false" outlineLevel="0" collapsed="false">
      <c r="A13" s="6" t="n">
        <v>10</v>
      </c>
      <c r="B13" s="6" t="s">
        <v>77</v>
      </c>
      <c r="C13" s="6" t="s">
        <v>80</v>
      </c>
      <c r="D13" s="6" t="n">
        <v>100</v>
      </c>
      <c r="E13" s="6" t="s">
        <v>74</v>
      </c>
      <c r="F13" s="6"/>
      <c r="G13" s="6" t="s">
        <v>79</v>
      </c>
    </row>
    <row r="14" customFormat="false" ht="15" hidden="false" customHeight="false" outlineLevel="0" collapsed="false">
      <c r="A14" s="4" t="n">
        <v>11</v>
      </c>
      <c r="B14" s="4" t="s">
        <v>77</v>
      </c>
      <c r="C14" s="4" t="s">
        <v>80</v>
      </c>
      <c r="D14" s="4" t="n">
        <v>95</v>
      </c>
      <c r="E14" s="4" t="s">
        <v>74</v>
      </c>
      <c r="F14" s="4"/>
      <c r="G14" s="4" t="s">
        <v>79</v>
      </c>
    </row>
    <row r="15" customFormat="false" ht="15" hidden="false" customHeight="false" outlineLevel="0" collapsed="false">
      <c r="A15" s="6" t="n">
        <v>12</v>
      </c>
      <c r="B15" s="6" t="s">
        <v>77</v>
      </c>
      <c r="C15" s="6" t="s">
        <v>80</v>
      </c>
      <c r="D15" s="6" t="n">
        <v>90</v>
      </c>
      <c r="E15" s="6" t="s">
        <v>74</v>
      </c>
      <c r="F15" s="6"/>
      <c r="G15" s="6" t="s">
        <v>79</v>
      </c>
    </row>
    <row r="16" customFormat="false" ht="15" hidden="false" customHeight="false" outlineLevel="0" collapsed="false">
      <c r="A16" s="4" t="n">
        <v>13</v>
      </c>
      <c r="B16" s="4" t="s">
        <v>77</v>
      </c>
      <c r="C16" s="4" t="s">
        <v>80</v>
      </c>
      <c r="D16" s="4" t="n">
        <v>80</v>
      </c>
      <c r="E16" s="4" t="s">
        <v>74</v>
      </c>
      <c r="F16" s="4"/>
      <c r="G16" s="4" t="s">
        <v>79</v>
      </c>
    </row>
    <row r="17" customFormat="false" ht="15" hidden="false" customHeight="false" outlineLevel="0" collapsed="false">
      <c r="A17" s="6" t="n">
        <v>14</v>
      </c>
      <c r="B17" s="6" t="s">
        <v>77</v>
      </c>
      <c r="C17" s="6" t="s">
        <v>80</v>
      </c>
      <c r="D17" s="6" t="n">
        <v>70</v>
      </c>
      <c r="E17" s="6" t="s">
        <v>74</v>
      </c>
      <c r="F17" s="6" t="s">
        <v>81</v>
      </c>
      <c r="G17" s="6" t="s">
        <v>82</v>
      </c>
    </row>
    <row r="18" customFormat="false" ht="15" hidden="false" customHeight="true" outlineLevel="0" collapsed="false">
      <c r="A18" s="8" t="s">
        <v>83</v>
      </c>
      <c r="B18" s="8"/>
      <c r="C18" s="8"/>
      <c r="D18" s="9" t="n">
        <f aca="false">SUM(D4:D17)</f>
        <v>1725</v>
      </c>
    </row>
  </sheetData>
  <mergeCells count="3">
    <mergeCell ref="A1:G1"/>
    <mergeCell ref="A2:G2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5"/>
  </cols>
  <sheetData>
    <row r="1" customFormat="false" ht="25.5" hidden="false" customHeight="true" outlineLevel="0" collapsed="false">
      <c r="A1" s="11" t="s">
        <v>84</v>
      </c>
      <c r="B1" s="11"/>
      <c r="C1" s="11"/>
      <c r="D1" s="11"/>
    </row>
    <row r="2" customFormat="false" ht="15" hidden="false" customHeight="false" outlineLevel="0" collapsed="false">
      <c r="A2" s="12"/>
      <c r="B2" s="12"/>
    </row>
    <row r="3" customFormat="false" ht="15" hidden="false" customHeight="false" outlineLevel="0" collapsed="false">
      <c r="A3" s="13" t="s">
        <v>85</v>
      </c>
      <c r="B3" s="14"/>
    </row>
    <row r="4" customFormat="false" ht="15" hidden="false" customHeight="false" outlineLevel="0" collapsed="false">
      <c r="A4" s="15" t="s">
        <v>86</v>
      </c>
      <c r="B4" s="5" t="s">
        <v>87</v>
      </c>
    </row>
    <row r="5" customFormat="false" ht="15" hidden="false" customHeight="false" outlineLevel="0" collapsed="false">
      <c r="A5" s="15" t="s">
        <v>88</v>
      </c>
      <c r="B5" s="5" t="s">
        <v>89</v>
      </c>
    </row>
    <row r="6" customFormat="false" ht="15" hidden="false" customHeight="false" outlineLevel="0" collapsed="false">
      <c r="A6" s="15" t="s">
        <v>90</v>
      </c>
      <c r="B6" s="5" t="s">
        <v>91</v>
      </c>
    </row>
    <row r="7" customFormat="false" ht="15" hidden="false" customHeight="false" outlineLevel="0" collapsed="false">
      <c r="A7" s="15" t="s">
        <v>92</v>
      </c>
      <c r="B7" s="5" t="n">
        <v>8</v>
      </c>
    </row>
    <row r="8" customFormat="false" ht="15" hidden="false" customHeight="false" outlineLevel="0" collapsed="false">
      <c r="A8" s="15" t="s">
        <v>93</v>
      </c>
      <c r="B8" s="5" t="n">
        <f aca="false">SUM('Theater Overview'!F4:F11)</f>
        <v>65</v>
      </c>
    </row>
    <row r="9" customFormat="false" ht="15" hidden="false" customHeight="false" outlineLevel="0" collapsed="false">
      <c r="A9" s="15" t="s">
        <v>94</v>
      </c>
      <c r="B9" s="5" t="n">
        <f aca="false">SUM('Theater Overview'!J4:J11)</f>
        <v>7790</v>
      </c>
    </row>
    <row r="10" customFormat="false" ht="15" hidden="false" customHeight="false" outlineLevel="0" collapsed="false">
      <c r="A10" s="12"/>
      <c r="B10" s="12"/>
    </row>
    <row r="11" customFormat="false" ht="15" hidden="false" customHeight="false" outlineLevel="0" collapsed="false">
      <c r="A11" s="13" t="s">
        <v>95</v>
      </c>
      <c r="B11" s="14"/>
    </row>
    <row r="12" customFormat="false" ht="15" hidden="false" customHeight="false" outlineLevel="0" collapsed="false">
      <c r="A12" s="15" t="s">
        <v>96</v>
      </c>
      <c r="B12" s="5" t="n">
        <v>2</v>
      </c>
    </row>
    <row r="13" customFormat="false" ht="15" hidden="false" customHeight="false" outlineLevel="0" collapsed="false">
      <c r="A13" s="15" t="s">
        <v>97</v>
      </c>
      <c r="B13" s="5" t="s">
        <v>98</v>
      </c>
    </row>
    <row r="14" customFormat="false" ht="15" hidden="false" customHeight="false" outlineLevel="0" collapsed="false">
      <c r="A14" s="15" t="s">
        <v>99</v>
      </c>
      <c r="B14" s="5" t="s">
        <v>100</v>
      </c>
    </row>
    <row r="15" customFormat="false" ht="15" hidden="false" customHeight="false" outlineLevel="0" collapsed="false">
      <c r="A15" s="12"/>
      <c r="B15" s="12"/>
    </row>
    <row r="16" customFormat="false" ht="15" hidden="false" customHeight="false" outlineLevel="0" collapsed="false">
      <c r="A16" s="13" t="s">
        <v>101</v>
      </c>
      <c r="B16" s="14"/>
    </row>
    <row r="17" customFormat="false" ht="15" hidden="false" customHeight="false" outlineLevel="0" collapsed="false">
      <c r="A17" s="15" t="s">
        <v>102</v>
      </c>
      <c r="B17" s="5" t="s">
        <v>103</v>
      </c>
    </row>
    <row r="18" customFormat="false" ht="15" hidden="false" customHeight="false" outlineLevel="0" collapsed="false">
      <c r="A18" s="15" t="s">
        <v>104</v>
      </c>
      <c r="B18" s="5" t="s">
        <v>105</v>
      </c>
    </row>
    <row r="19" customFormat="false" ht="15" hidden="false" customHeight="false" outlineLevel="0" collapsed="false">
      <c r="A19" s="12"/>
      <c r="B19" s="12"/>
    </row>
    <row r="20" customFormat="false" ht="15" hidden="false" customHeight="false" outlineLevel="0" collapsed="false">
      <c r="A20" s="13" t="s">
        <v>106</v>
      </c>
      <c r="B20" s="14"/>
    </row>
    <row r="21" customFormat="false" ht="15" hidden="false" customHeight="false" outlineLevel="0" collapsed="false">
      <c r="A21" s="15" t="s">
        <v>107</v>
      </c>
      <c r="B21" s="5" t="s">
        <v>108</v>
      </c>
    </row>
    <row r="22" customFormat="false" ht="15" hidden="false" customHeight="false" outlineLevel="0" collapsed="false">
      <c r="A22" s="15" t="s">
        <v>109</v>
      </c>
      <c r="B22" s="5" t="s">
        <v>110</v>
      </c>
    </row>
    <row r="23" customFormat="false" ht="15" hidden="false" customHeight="false" outlineLevel="0" collapsed="false">
      <c r="A23" s="15" t="s">
        <v>111</v>
      </c>
      <c r="B23" s="5" t="s">
        <v>112</v>
      </c>
    </row>
    <row r="24" customFormat="false" ht="15" hidden="false" customHeight="false" outlineLevel="0" collapsed="false">
      <c r="A24" s="15" t="s">
        <v>113</v>
      </c>
      <c r="B24" s="5" t="s">
        <v>114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2026-04-14T16:54:18Z</dcterms:created>
  <dc:creator>openpyxl</dc:creator>
  <dc:description/>
  <dc:language>en-US</dc:language>
  <cp:lastModifiedBy/>
  <dcterms:modified xsi:type="dcterms:W3CDTF">2026-04-14T16:54:18Z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